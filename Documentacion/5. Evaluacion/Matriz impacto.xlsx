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8_{FEDDBF03-D065-444E-866B-318B14C1E08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Matriz de riesgos" sheetId="3" r:id="rId1"/>
    <sheet name="Matriz impacto" sheetId="2" r:id="rId2"/>
  </sheets>
  <definedNames>
    <definedName name="_xlnm._FilterDatabase" localSheetId="1" hidden="1">'Matriz impacto'!$B$6:$J$36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2" l="1"/>
  <c r="G37" i="2"/>
  <c r="H37" i="2"/>
</calcChain>
</file>

<file path=xl/sharedStrings.xml><?xml version="1.0" encoding="utf-8"?>
<sst xmlns="http://schemas.openxmlformats.org/spreadsheetml/2006/main" count="221" uniqueCount="155">
  <si>
    <t>Evaluación de Riesgos del Proyecto</t>
  </si>
  <si>
    <t>ID del Proyecto</t>
  </si>
  <si>
    <t>Nombre del Proyecto</t>
  </si>
  <si>
    <t>Gerente del Proyecto</t>
  </si>
  <si>
    <t>Antes de la Mitigación</t>
  </si>
  <si>
    <t>Después de la Mitigación</t>
  </si>
  <si>
    <t>REF / ID</t>
  </si>
  <si>
    <t>Actividad</t>
  </si>
  <si>
    <t>Riesgo</t>
  </si>
  <si>
    <t xml:space="preserve">Severidad del Riesgo
</t>
  </si>
  <si>
    <t>Probabilidad del Riesgo</t>
  </si>
  <si>
    <t>Nivel de Riesgo</t>
  </si>
  <si>
    <t>Mitigaciones / Advertencias / Remedios</t>
  </si>
  <si>
    <t>¿Aceptable para Continuar?</t>
  </si>
  <si>
    <t>RISK 
SEVERITY</t>
  </si>
  <si>
    <t>RISK LIKELIHOOD</t>
  </si>
  <si>
    <t>RISK 
LEVEL</t>
  </si>
  <si>
    <t>ACCEPTABLE 
TO PROCEED?</t>
  </si>
  <si>
    <t>ACCEPTABLE</t>
  </si>
  <si>
    <t>PROBABLE</t>
  </si>
  <si>
    <t>LOW</t>
  </si>
  <si>
    <t>IMPROBABLE</t>
  </si>
  <si>
    <t>YES</t>
  </si>
  <si>
    <t>TOLERABLE</t>
  </si>
  <si>
    <t>POSSIBLE</t>
  </si>
  <si>
    <t>MEDIUM</t>
  </si>
  <si>
    <t>NO</t>
  </si>
  <si>
    <t>UNDESIRABLE</t>
  </si>
  <si>
    <t>HIGH</t>
  </si>
  <si>
    <t>INTOLERABLE</t>
  </si>
  <si>
    <t>EXTREME</t>
  </si>
  <si>
    <t>MATRIZ DE IMPACTO</t>
  </si>
  <si>
    <t>CATEGORÍA</t>
  </si>
  <si>
    <t>SUBCATEGORÍA</t>
  </si>
  <si>
    <t>CAUSA DETALLADA</t>
  </si>
  <si>
    <t>PROBABILIDAD (%)</t>
  </si>
  <si>
    <t>IMPACTO</t>
  </si>
  <si>
    <t>DISTRIBUCIÒN</t>
  </si>
  <si>
    <t>OBSERVACIONES</t>
  </si>
  <si>
    <t>UI/UX</t>
  </si>
  <si>
    <t>Experiencia del equipo</t>
  </si>
  <si>
    <t>Diseñador con poca experiencia en proyectos similares</t>
  </si>
  <si>
    <t>Alto</t>
  </si>
  <si>
    <t>Requiere mentoría y revisión por parte de un diseñador senior</t>
  </si>
  <si>
    <t>Calidad del diseño</t>
  </si>
  <si>
    <t>Diseño incompleto o ambiguo (falta de flujos y estados)</t>
  </si>
  <si>
    <t>Se recomienda checklist de validación antes del desarrollo</t>
  </si>
  <si>
    <t>Comunicación interna</t>
  </si>
  <si>
    <t>Falta de sincronización entre diseño y desarrollo</t>
  </si>
  <si>
    <t>Sesiones semanales de revisión entre UX y Frontend</t>
  </si>
  <si>
    <t>Compatibilidad técnica</t>
  </si>
  <si>
    <t>Incompatibilidad de estilos de IONIC con el diseño definido</t>
  </si>
  <si>
    <t>Medio</t>
  </si>
  <si>
    <t>Se sugiere revisión temprana de componentes IONIC</t>
  </si>
  <si>
    <t>Documentación</t>
  </si>
  <si>
    <t>Falta de guía de estilos centralizada</t>
  </si>
  <si>
    <t>Implementar design system unificado</t>
  </si>
  <si>
    <t>Frontend</t>
  </si>
  <si>
    <t>Capacitación</t>
  </si>
  <si>
    <t>Falta de conocimiento en framework (IONIC/Angular)</t>
  </si>
  <si>
    <t>Plan de capacitación técnica interna</t>
  </si>
  <si>
    <t>Compatibilidad</t>
  </si>
  <si>
    <t>Incompatibilidad entre navegadores y dispositivos</t>
  </si>
  <si>
    <t>Pruebas automatizadas en navegadores principales</t>
  </si>
  <si>
    <t>Cambios de diseño</t>
  </si>
  <si>
    <t>Retrabajo por modificaciones de cliente en etapas tardías</t>
  </si>
  <si>
    <t>Definir control de cambios formal antes de desarrollo</t>
  </si>
  <si>
    <t>Integración</t>
  </si>
  <si>
    <t>Falta de comunicación con backend en endpoints</t>
  </si>
  <si>
    <t>Documentar contratos de APIs antes del sprint</t>
  </si>
  <si>
    <t>Pruebas</t>
  </si>
  <si>
    <t>Falta de pruebas unitarias y de integración</t>
  </si>
  <si>
    <t>Medio-Alto</t>
  </si>
  <si>
    <t>Asignar tiempo para QA técnico dentro del sprint</t>
  </si>
  <si>
    <t>Backend</t>
  </si>
  <si>
    <t>Arquitectura</t>
  </si>
  <si>
    <t>Diseño deficiente o cambios constantes en la arquitectura</t>
  </si>
  <si>
    <t>Revisar arquitectura antes de codificación</t>
  </si>
  <si>
    <t>Recursos</t>
  </si>
  <si>
    <t>Sobrecarga de tareas en un solo desarrollador</t>
  </si>
  <si>
    <t>Muy alto</t>
  </si>
  <si>
    <t>Redistribuir trabajo o aumentar personal temporal</t>
  </si>
  <si>
    <t>Falta de documentación en endpoints</t>
  </si>
  <si>
    <t>Implementar Swagger / OpenAPI obligatorio</t>
  </si>
  <si>
    <t>Integraciones externas</t>
  </si>
  <si>
    <t>APIs de terceros inestables o sin soporte</t>
  </si>
  <si>
    <t>Uso de mocks y pruebas offline</t>
  </si>
  <si>
    <t>Falta de pruebas automatizadas de regresión</t>
  </si>
  <si>
    <t>Automatizar pruebas en pipeline CI/CD</t>
  </si>
  <si>
    <t>Base de Datos</t>
  </si>
  <si>
    <t>Diseño</t>
  </si>
  <si>
    <t>Base de datos sin normalización adecuada</t>
  </si>
  <si>
    <t>Revisar modelo antes de producción</t>
  </si>
  <si>
    <t>Cambios de requerimiento</t>
  </si>
  <si>
    <t>Ajustes constantes en el modelo</t>
  </si>
  <si>
    <t>Versionar esquemas con control Git</t>
  </si>
  <si>
    <t>Falta de documentación y control de migraciones</t>
  </si>
  <si>
    <t>Estandarizar con herramientas ORM</t>
  </si>
  <si>
    <t>Rendimiento</t>
  </si>
  <si>
    <t>Consultas SQL no optimizadas</t>
  </si>
  <si>
    <t>Revisar índices y planes de ejecución</t>
  </si>
  <si>
    <t>Seguridad</t>
  </si>
  <si>
    <t>Falta de políticas de respaldo y recuperación</t>
  </si>
  <si>
    <t>Implementar backup automático diario</t>
  </si>
  <si>
    <t>Despliegue</t>
  </si>
  <si>
    <t>Entornos</t>
  </si>
  <si>
    <t>Configuración inconsistente entre desarrollo y producción</t>
  </si>
  <si>
    <t>Estandarizar ambientes con Docker</t>
  </si>
  <si>
    <t>Automatización</t>
  </si>
  <si>
    <t>Falta de pipeline CI/CD</t>
  </si>
  <si>
    <t>Implementar Jenkins/GitHub Actions</t>
  </si>
  <si>
    <t>Dependencias</t>
  </si>
  <si>
    <t>Errores por versiones incompatibles</t>
  </si>
  <si>
    <t>Congelar versiones con package-lock.json</t>
  </si>
  <si>
    <t>Pruebas previas</t>
  </si>
  <si>
    <t>Falta de entorno preproducción</t>
  </si>
  <si>
    <t>Configurar ambiente staging</t>
  </si>
  <si>
    <t>Aprobaciones</t>
  </si>
  <si>
    <t>Demoras por procesos manuales de revisión</t>
  </si>
  <si>
    <t>Automatizar aprobación de despliegues menores</t>
  </si>
  <si>
    <t>Mantenimiento</t>
  </si>
  <si>
    <t>Ausencia de documentación técnica post-lanzamiento</t>
  </si>
  <si>
    <t>Crear wiki técnica centralizada</t>
  </si>
  <si>
    <t>Personal clave</t>
  </si>
  <si>
    <t>Dependencia de personal específico</t>
  </si>
  <si>
    <t>Medio - Alto</t>
  </si>
  <si>
    <t>Cross-training del equipo</t>
  </si>
  <si>
    <t>Deuda técnica</t>
  </si>
  <si>
    <t>Retrasos acumulados por código obsoleto</t>
  </si>
  <si>
    <t>Refactorización programada trimestral</t>
  </si>
  <si>
    <t>Incidencias</t>
  </si>
  <si>
    <t>Mala gestión de bugs y tickets</t>
  </si>
  <si>
    <t>Implementar herramienta de seguimiento (Jira)</t>
  </si>
  <si>
    <t>Seguimiento</t>
  </si>
  <si>
    <t>Falta de métricas de rendimiento o errores</t>
  </si>
  <si>
    <t>Integrar monitoreo con Grafana o Datadog</t>
  </si>
  <si>
    <t>PORCENTAJE</t>
  </si>
  <si>
    <t>Bajo</t>
  </si>
  <si>
    <t xml:space="preserve">Alto </t>
  </si>
  <si>
    <t>RIESGO</t>
  </si>
  <si>
    <t>Clasificación Matriz del Riesgo (Bajo, Medio, Alto), escala 1 al 25</t>
  </si>
  <si>
    <t>Clasificación Probabilidad(Bajo, Medio, Alto) Escala de 1 al 100%</t>
  </si>
  <si>
    <t>PORCENTAJE ASIGNADO DE LA PROBABILIDAD</t>
  </si>
  <si>
    <r>
      <t>Verde</t>
    </r>
    <r>
      <rPr>
        <sz val="11"/>
        <color theme="1"/>
        <rFont val="Calibri"/>
        <family val="2"/>
      </rPr>
      <t>: Riesgo bajo.</t>
    </r>
  </si>
  <si>
    <t>01 al 10</t>
  </si>
  <si>
    <t>01 al 19</t>
  </si>
  <si>
    <t>01 al 49 %</t>
  </si>
  <si>
    <r>
      <t>Amarillo</t>
    </r>
    <r>
      <rPr>
        <sz val="11"/>
        <color theme="1"/>
        <rFont val="Calibri"/>
        <family val="2"/>
      </rPr>
      <t>: Riesgo moderado.</t>
    </r>
  </si>
  <si>
    <t>11 al 15</t>
  </si>
  <si>
    <t>20 al 50</t>
  </si>
  <si>
    <t>50 al 79%</t>
  </si>
  <si>
    <r>
      <t>Rojo</t>
    </r>
    <r>
      <rPr>
        <sz val="11"/>
        <color theme="1"/>
        <rFont val="Calibri"/>
        <family val="2"/>
      </rPr>
      <t>: Riesgo alto o crítico.</t>
    </r>
  </si>
  <si>
    <t>16 al 25</t>
  </si>
  <si>
    <t>51 al 100</t>
  </si>
  <si>
    <t>80 al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</si>
</sst>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sz val="14"/>
      <color theme="1"/>
      <name val="Calibri"/>
      <family val="2"/>
      <scheme val="minor"/>
    </font>
    <font>
      <b/>
      <sz val="26"/>
      <color rgb="FF001033"/>
      <name val="Century Gothic"/>
      <family val="1"/>
    </font>
    <font>
      <sz val="10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sz val="11"/>
      <color theme="1"/>
      <name val="Century Gothic"/>
      <family val="1"/>
    </font>
    <font>
      <sz val="14"/>
      <color theme="1"/>
      <name val="Century Gothic"/>
      <family val="1"/>
    </font>
    <font>
      <b/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b/>
      <sz val="10"/>
      <color theme="0"/>
      <name val="Century Gothic"/>
      <family val="1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6A49E"/>
        <bgColor rgb="FF2E75B5"/>
      </patternFill>
    </fill>
    <fill>
      <patternFill patternType="solid">
        <fgColor rgb="FFF6A49E"/>
        <bgColor rgb="FFD0CECE"/>
      </patternFill>
    </fill>
    <fill>
      <patternFill patternType="solid">
        <fgColor theme="0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D0CECE"/>
      </patternFill>
    </fill>
    <fill>
      <patternFill patternType="solid">
        <fgColor theme="6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9" fontId="2" fillId="4" borderId="3" xfId="0" applyNumberFormat="1" applyFont="1" applyFill="1" applyBorder="1" applyAlignment="1">
      <alignment horizontal="center" vertical="center"/>
    </xf>
    <xf numFmtId="9" fontId="2" fillId="4" borderId="4" xfId="0" applyNumberFormat="1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9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2" fillId="0" borderId="14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9" fontId="1" fillId="5" borderId="15" xfId="0" applyNumberFormat="1" applyFont="1" applyFill="1" applyBorder="1" applyAlignment="1">
      <alignment horizontal="center" vertical="top" wrapText="1"/>
    </xf>
    <xf numFmtId="9" fontId="1" fillId="5" borderId="15" xfId="0" applyNumberFormat="1" applyFont="1" applyFill="1" applyBorder="1" applyAlignment="1">
      <alignment horizontal="center" wrapText="1"/>
    </xf>
    <xf numFmtId="9" fontId="1" fillId="5" borderId="18" xfId="0" applyNumberFormat="1" applyFont="1" applyFill="1" applyBorder="1" applyAlignment="1">
      <alignment horizontal="center" vertical="top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2" borderId="20" xfId="0" applyFont="1" applyFill="1" applyBorder="1"/>
    <xf numFmtId="0" fontId="9" fillId="6" borderId="21" xfId="0" applyFont="1" applyFill="1" applyBorder="1"/>
    <xf numFmtId="0" fontId="9" fillId="7" borderId="22" xfId="0" applyFont="1" applyFill="1" applyBorder="1"/>
    <xf numFmtId="0" fontId="10" fillId="9" borderId="0" xfId="0" applyFont="1" applyFill="1" applyAlignment="1">
      <alignment vertical="center"/>
    </xf>
    <xf numFmtId="0" fontId="11" fillId="9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2" fillId="0" borderId="23" xfId="0" applyFont="1" applyBorder="1"/>
    <xf numFmtId="0" fontId="13" fillId="10" borderId="24" xfId="0" applyFont="1" applyFill="1" applyBorder="1" applyAlignment="1">
      <alignment horizontal="left" vertical="center" wrapText="1" indent="1"/>
    </xf>
    <xf numFmtId="0" fontId="14" fillId="0" borderId="29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wrapText="1"/>
    </xf>
    <xf numFmtId="0" fontId="16" fillId="0" borderId="29" xfId="0" applyFont="1" applyBorder="1" applyAlignment="1">
      <alignment vertical="center"/>
    </xf>
    <xf numFmtId="0" fontId="0" fillId="0" borderId="0" xfId="0" applyAlignment="1">
      <alignment wrapText="1"/>
    </xf>
    <xf numFmtId="0" fontId="17" fillId="8" borderId="33" xfId="0" applyFont="1" applyFill="1" applyBorder="1" applyAlignment="1">
      <alignment horizontal="left" vertical="center" wrapText="1" indent="1"/>
    </xf>
    <xf numFmtId="0" fontId="17" fillId="8" borderId="33" xfId="0" applyFont="1" applyFill="1" applyBorder="1" applyAlignment="1">
      <alignment horizontal="left" vertical="top" wrapText="1" indent="1"/>
    </xf>
    <xf numFmtId="0" fontId="17" fillId="8" borderId="34" xfId="0" applyFont="1" applyFill="1" applyBorder="1" applyAlignment="1">
      <alignment horizontal="left" vertical="center" wrapText="1" indent="1"/>
    </xf>
    <xf numFmtId="0" fontId="17" fillId="8" borderId="35" xfId="0" applyFont="1" applyFill="1" applyBorder="1" applyAlignment="1">
      <alignment horizontal="left" vertical="center" wrapText="1" indent="1"/>
    </xf>
    <xf numFmtId="0" fontId="17" fillId="13" borderId="36" xfId="0" applyFont="1" applyFill="1" applyBorder="1" applyAlignment="1">
      <alignment horizontal="left" vertical="center" wrapText="1" indent="1"/>
    </xf>
    <xf numFmtId="0" fontId="17" fillId="13" borderId="37" xfId="0" applyFont="1" applyFill="1" applyBorder="1" applyAlignment="1">
      <alignment horizontal="center" vertical="center" wrapText="1"/>
    </xf>
    <xf numFmtId="0" fontId="17" fillId="8" borderId="38" xfId="0" applyFont="1" applyFill="1" applyBorder="1" applyAlignment="1">
      <alignment horizontal="left" vertical="center" wrapText="1" indent="1"/>
    </xf>
    <xf numFmtId="0" fontId="18" fillId="0" borderId="0" xfId="0" applyFont="1" applyAlignment="1">
      <alignment wrapText="1"/>
    </xf>
    <xf numFmtId="0" fontId="17" fillId="13" borderId="38" xfId="0" applyFont="1" applyFill="1" applyBorder="1" applyAlignment="1">
      <alignment horizontal="center" vertical="center" wrapText="1"/>
    </xf>
    <xf numFmtId="0" fontId="11" fillId="14" borderId="39" xfId="0" applyFont="1" applyFill="1" applyBorder="1" applyAlignment="1">
      <alignment horizontal="left" vertical="center" wrapText="1" indent="1"/>
    </xf>
    <xf numFmtId="0" fontId="11" fillId="0" borderId="39" xfId="0" applyFont="1" applyBorder="1" applyAlignment="1">
      <alignment horizontal="left" vertical="center" wrapText="1" indent="1"/>
    </xf>
    <xf numFmtId="0" fontId="11" fillId="14" borderId="40" xfId="0" applyFont="1" applyFill="1" applyBorder="1" applyAlignment="1">
      <alignment horizontal="left" vertical="center" wrapText="1" indent="1"/>
    </xf>
    <xf numFmtId="0" fontId="16" fillId="14" borderId="41" xfId="0" applyFont="1" applyFill="1" applyBorder="1" applyAlignment="1">
      <alignment horizontal="left" vertical="center" wrapText="1" indent="1"/>
    </xf>
    <xf numFmtId="0" fontId="11" fillId="0" borderId="42" xfId="0" applyFont="1" applyBorder="1" applyAlignment="1">
      <alignment horizontal="left" vertical="center" wrapText="1" indent="1"/>
    </xf>
    <xf numFmtId="0" fontId="11" fillId="10" borderId="39" xfId="0" applyFont="1" applyFill="1" applyBorder="1" applyAlignment="1">
      <alignment horizontal="left" vertical="center" wrapText="1" indent="1"/>
    </xf>
    <xf numFmtId="0" fontId="11" fillId="10" borderId="40" xfId="0" applyFont="1" applyFill="1" applyBorder="1" applyAlignment="1">
      <alignment horizontal="left" vertical="center" wrapText="1" indent="1"/>
    </xf>
    <xf numFmtId="0" fontId="16" fillId="10" borderId="41" xfId="0" applyFont="1" applyFill="1" applyBorder="1" applyAlignment="1">
      <alignment horizontal="left" vertical="center" wrapText="1" indent="1"/>
    </xf>
    <xf numFmtId="0" fontId="19" fillId="0" borderId="43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9" borderId="39" xfId="0" applyFont="1" applyFill="1" applyBorder="1" applyAlignment="1">
      <alignment horizontal="left" vertical="center" wrapText="1" indent="1"/>
    </xf>
    <xf numFmtId="0" fontId="11" fillId="15" borderId="39" xfId="0" applyFont="1" applyFill="1" applyBorder="1" applyAlignment="1">
      <alignment horizontal="left" vertical="center" wrapText="1" indent="1"/>
    </xf>
    <xf numFmtId="0" fontId="11" fillId="2" borderId="39" xfId="0" applyFont="1" applyFill="1" applyBorder="1" applyAlignment="1">
      <alignment horizontal="center" vertical="center" wrapText="1"/>
    </xf>
    <xf numFmtId="0" fontId="11" fillId="11" borderId="39" xfId="0" applyFont="1" applyFill="1" applyBorder="1" applyAlignment="1">
      <alignment horizontal="left" vertical="center" wrapText="1" indent="1"/>
    </xf>
    <xf numFmtId="0" fontId="11" fillId="8" borderId="39" xfId="0" applyFont="1" applyFill="1" applyBorder="1" applyAlignment="1">
      <alignment horizontal="left" vertical="center" wrapText="1" indent="1"/>
    </xf>
    <xf numFmtId="0" fontId="11" fillId="16" borderId="39" xfId="0" applyFont="1" applyFill="1" applyBorder="1" applyAlignment="1">
      <alignment horizontal="left" vertical="center" wrapText="1" indent="1"/>
    </xf>
    <xf numFmtId="0" fontId="11" fillId="7" borderId="39" xfId="0" applyFont="1" applyFill="1" applyBorder="1" applyAlignment="1">
      <alignment horizontal="center" vertical="center" wrapText="1"/>
    </xf>
    <xf numFmtId="0" fontId="11" fillId="17" borderId="39" xfId="0" applyFont="1" applyFill="1" applyBorder="1" applyAlignment="1">
      <alignment horizontal="left" vertical="center" wrapText="1" indent="1"/>
    </xf>
    <xf numFmtId="0" fontId="11" fillId="18" borderId="39" xfId="0" applyFont="1" applyFill="1" applyBorder="1" applyAlignment="1">
      <alignment horizontal="left" vertical="center" wrapText="1" indent="1"/>
    </xf>
    <xf numFmtId="0" fontId="11" fillId="7" borderId="39" xfId="0" applyFont="1" applyFill="1" applyBorder="1" applyAlignment="1">
      <alignment horizontal="left" vertical="center" wrapText="1" indent="1"/>
    </xf>
    <xf numFmtId="0" fontId="16" fillId="0" borderId="43" xfId="0" applyFont="1" applyBorder="1" applyAlignment="1">
      <alignment horizontal="center" vertical="center" wrapText="1"/>
    </xf>
    <xf numFmtId="0" fontId="11" fillId="14" borderId="44" xfId="0" applyFont="1" applyFill="1" applyBorder="1" applyAlignment="1">
      <alignment horizontal="left" vertical="center" wrapText="1" indent="1"/>
    </xf>
    <xf numFmtId="0" fontId="11" fillId="0" borderId="44" xfId="0" applyFont="1" applyBorder="1" applyAlignment="1">
      <alignment horizontal="left" vertical="center" wrapText="1" indent="1"/>
    </xf>
    <xf numFmtId="0" fontId="11" fillId="14" borderId="45" xfId="0" applyFont="1" applyFill="1" applyBorder="1" applyAlignment="1">
      <alignment horizontal="left" vertical="center" wrapText="1" indent="1"/>
    </xf>
    <xf numFmtId="0" fontId="16" fillId="14" borderId="46" xfId="0" applyFont="1" applyFill="1" applyBorder="1" applyAlignment="1">
      <alignment horizontal="left" vertical="center" wrapText="1" indent="1"/>
    </xf>
    <xf numFmtId="0" fontId="11" fillId="0" borderId="47" xfId="0" applyFont="1" applyBorder="1" applyAlignment="1">
      <alignment horizontal="left" vertical="center" wrapText="1" indent="1"/>
    </xf>
    <xf numFmtId="0" fontId="11" fillId="10" borderId="44" xfId="0" applyFont="1" applyFill="1" applyBorder="1" applyAlignment="1">
      <alignment horizontal="left" vertical="center" wrapText="1" indent="1"/>
    </xf>
    <xf numFmtId="0" fontId="11" fillId="10" borderId="45" xfId="0" applyFont="1" applyFill="1" applyBorder="1" applyAlignment="1">
      <alignment horizontal="left" vertical="center" wrapText="1" indent="1"/>
    </xf>
    <xf numFmtId="0" fontId="16" fillId="10" borderId="46" xfId="0" applyFont="1" applyFill="1" applyBorder="1" applyAlignment="1">
      <alignment horizontal="left" vertical="center" wrapText="1" indent="1"/>
    </xf>
    <xf numFmtId="0" fontId="16" fillId="0" borderId="4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/>
    <xf numFmtId="9" fontId="0" fillId="7" borderId="1" xfId="0" applyNumberFormat="1" applyFill="1" applyBorder="1" applyAlignment="1">
      <alignment vertical="center" wrapText="1"/>
    </xf>
    <xf numFmtId="9" fontId="0" fillId="6" borderId="1" xfId="0" applyNumberFormat="1" applyFill="1" applyBorder="1" applyAlignment="1">
      <alignment vertical="center" wrapText="1"/>
    </xf>
    <xf numFmtId="0" fontId="0" fillId="7" borderId="1" xfId="0" applyFill="1" applyBorder="1"/>
    <xf numFmtId="0" fontId="20" fillId="20" borderId="1" xfId="0" applyFont="1" applyFill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0" fillId="19" borderId="51" xfId="0" applyFill="1" applyBorder="1"/>
    <xf numFmtId="9" fontId="0" fillId="7" borderId="51" xfId="0" applyNumberFormat="1" applyFill="1" applyBorder="1" applyAlignment="1">
      <alignment vertical="center" wrapText="1"/>
    </xf>
    <xf numFmtId="0" fontId="12" fillId="0" borderId="0" xfId="0" applyFont="1" applyAlignment="1">
      <alignment horizontal="left"/>
    </xf>
    <xf numFmtId="0" fontId="13" fillId="0" borderId="25" xfId="0" applyFont="1" applyBorder="1" applyAlignment="1">
      <alignment horizontal="left" vertical="center" wrapText="1" indent="1"/>
    </xf>
    <xf numFmtId="0" fontId="13" fillId="0" borderId="26" xfId="0" applyFont="1" applyBorder="1" applyAlignment="1">
      <alignment horizontal="left" vertical="center" wrapText="1" indent="1"/>
    </xf>
    <xf numFmtId="0" fontId="13" fillId="0" borderId="27" xfId="0" applyFont="1" applyBorder="1" applyAlignment="1">
      <alignment horizontal="left" vertical="center" wrapText="1" indent="1"/>
    </xf>
    <xf numFmtId="0" fontId="13" fillId="0" borderId="28" xfId="0" applyFont="1" applyBorder="1" applyAlignment="1">
      <alignment horizontal="left" vertical="center" wrapText="1" indent="1"/>
    </xf>
    <xf numFmtId="0" fontId="15" fillId="11" borderId="30" xfId="0" applyFont="1" applyFill="1" applyBorder="1" applyAlignment="1">
      <alignment horizontal="left" vertical="center" indent="1"/>
    </xf>
    <xf numFmtId="0" fontId="15" fillId="11" borderId="31" xfId="0" applyFont="1" applyFill="1" applyBorder="1" applyAlignment="1">
      <alignment horizontal="left" vertical="center" indent="1"/>
    </xf>
    <xf numFmtId="0" fontId="15" fillId="11" borderId="32" xfId="0" applyFont="1" applyFill="1" applyBorder="1" applyAlignment="1">
      <alignment horizontal="left" vertical="center" indent="1"/>
    </xf>
    <xf numFmtId="0" fontId="15" fillId="12" borderId="30" xfId="0" applyFont="1" applyFill="1" applyBorder="1" applyAlignment="1">
      <alignment horizontal="left" vertical="center" indent="1"/>
    </xf>
    <xf numFmtId="0" fontId="15" fillId="12" borderId="31" xfId="0" applyFont="1" applyFill="1" applyBorder="1" applyAlignment="1">
      <alignment horizontal="left" vertical="center" indent="1"/>
    </xf>
    <xf numFmtId="0" fontId="15" fillId="12" borderId="32" xfId="0" applyFont="1" applyFill="1" applyBorder="1" applyAlignment="1">
      <alignment horizontal="left" vertical="center" indent="1"/>
    </xf>
    <xf numFmtId="0" fontId="7" fillId="4" borderId="1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/>
    </xf>
    <xf numFmtId="9" fontId="0" fillId="6" borderId="51" xfId="0" applyNumberFormat="1" applyFill="1" applyBorder="1" applyAlignment="1">
      <alignment vertical="center" wrapText="1"/>
    </xf>
    <xf numFmtId="0" fontId="0" fillId="22" borderId="1" xfId="0" applyFill="1" applyBorder="1"/>
    <xf numFmtId="9" fontId="0" fillId="22" borderId="1" xfId="0" applyNumberFormat="1" applyFill="1" applyBorder="1" applyAlignment="1">
      <alignment vertical="center" wrapText="1"/>
    </xf>
    <xf numFmtId="9" fontId="0" fillId="9" borderId="51" xfId="0" applyNumberFormat="1" applyFill="1" applyBorder="1" applyAlignment="1">
      <alignment vertical="center" wrapText="1"/>
    </xf>
    <xf numFmtId="9" fontId="0" fillId="9" borderId="1" xfId="0" applyNumberFormat="1" applyFill="1" applyBorder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053B-39FD-45DE-8080-62DC6F276747}">
  <dimension ref="B1:V24"/>
  <sheetViews>
    <sheetView topLeftCell="C1" zoomScale="96" zoomScaleNormal="96" workbookViewId="0">
      <selection activeCell="D21" sqref="D21"/>
    </sheetView>
  </sheetViews>
  <sheetFormatPr defaultColWidth="8.85546875" defaultRowHeight="15"/>
  <cols>
    <col min="1" max="1" width="3.28515625" customWidth="1"/>
    <col min="2" max="2" width="11.140625" customWidth="1"/>
    <col min="3" max="4" width="25.85546875" customWidth="1"/>
    <col min="5" max="5" width="27.28515625" customWidth="1"/>
    <col min="6" max="6" width="13.85546875" customWidth="1"/>
    <col min="7" max="7" width="10.85546875" customWidth="1"/>
    <col min="8" max="8" width="33.85546875" customWidth="1"/>
    <col min="9" max="9" width="30.5703125" customWidth="1"/>
    <col min="10" max="10" width="13.85546875" customWidth="1"/>
    <col min="11" max="11" width="10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23" customFormat="1" ht="32.25">
      <c r="B1" s="21" t="s">
        <v>0</v>
      </c>
      <c r="C1" s="22"/>
      <c r="E1" s="22"/>
      <c r="F1" s="22"/>
      <c r="G1" s="22"/>
      <c r="I1" s="22"/>
    </row>
    <row r="2" spans="2:22" ht="15.75">
      <c r="B2" s="24" t="s">
        <v>1</v>
      </c>
      <c r="C2" s="24" t="s">
        <v>2</v>
      </c>
      <c r="D2" s="24"/>
      <c r="E2" s="24"/>
      <c r="F2" s="24"/>
      <c r="G2" s="24"/>
      <c r="H2" s="24"/>
      <c r="I2" s="78" t="s">
        <v>3</v>
      </c>
      <c r="J2" s="78"/>
      <c r="K2" s="78"/>
    </row>
    <row r="3" spans="2:22" ht="15.75" thickBot="1">
      <c r="B3" s="25"/>
      <c r="C3" s="79"/>
      <c r="D3" s="80"/>
      <c r="E3" s="80"/>
      <c r="F3" s="80"/>
      <c r="G3" s="80"/>
      <c r="H3" s="81"/>
      <c r="I3" s="79"/>
      <c r="J3" s="80"/>
      <c r="K3" s="82"/>
    </row>
    <row r="4" spans="2:22" ht="15.75" thickBot="1"/>
    <row r="5" spans="2:22" s="29" customFormat="1" ht="18.75" thickBot="1">
      <c r="B5" s="26"/>
      <c r="C5" s="26"/>
      <c r="D5" s="27"/>
      <c r="E5" s="83" t="s">
        <v>4</v>
      </c>
      <c r="F5" s="84"/>
      <c r="G5" s="85"/>
      <c r="H5" s="26"/>
      <c r="I5" s="86" t="s">
        <v>5</v>
      </c>
      <c r="J5" s="87"/>
      <c r="K5" s="88"/>
      <c r="L5" s="28"/>
    </row>
    <row r="6" spans="2:22" s="29" customFormat="1" ht="41.25" thickTop="1">
      <c r="B6" s="30" t="s">
        <v>6</v>
      </c>
      <c r="C6" s="30" t="s">
        <v>7</v>
      </c>
      <c r="D6" s="30" t="s">
        <v>8</v>
      </c>
      <c r="E6" s="31" t="s">
        <v>9</v>
      </c>
      <c r="F6" s="32" t="s">
        <v>10</v>
      </c>
      <c r="G6" s="33" t="s">
        <v>11</v>
      </c>
      <c r="H6" s="34" t="s">
        <v>12</v>
      </c>
      <c r="I6" s="31" t="s">
        <v>9</v>
      </c>
      <c r="J6" s="32" t="s">
        <v>10</v>
      </c>
      <c r="K6" s="33" t="s">
        <v>11</v>
      </c>
      <c r="L6" s="35" t="s">
        <v>13</v>
      </c>
      <c r="P6" s="36" t="s">
        <v>14</v>
      </c>
      <c r="Q6" s="37"/>
      <c r="R6" s="36" t="s">
        <v>15</v>
      </c>
      <c r="S6" s="37"/>
      <c r="T6" s="36" t="s">
        <v>16</v>
      </c>
      <c r="U6" s="37"/>
      <c r="V6" s="38" t="s">
        <v>17</v>
      </c>
    </row>
    <row r="7" spans="2:22" s="29" customFormat="1" ht="41.25" customHeight="1">
      <c r="B7" s="39"/>
      <c r="C7" s="40"/>
      <c r="D7" s="40"/>
      <c r="E7" s="39" t="s">
        <v>18</v>
      </c>
      <c r="F7" s="41" t="s">
        <v>19</v>
      </c>
      <c r="G7" s="42" t="s">
        <v>20</v>
      </c>
      <c r="H7" s="43"/>
      <c r="I7" s="44" t="s">
        <v>18</v>
      </c>
      <c r="J7" s="45" t="s">
        <v>21</v>
      </c>
      <c r="K7" s="46" t="s">
        <v>20</v>
      </c>
      <c r="L7" s="47" t="s">
        <v>22</v>
      </c>
      <c r="P7" s="40" t="s">
        <v>18</v>
      </c>
      <c r="Q7" s="48"/>
      <c r="R7" s="49" t="s">
        <v>21</v>
      </c>
      <c r="S7" s="48"/>
      <c r="T7" s="50" t="s">
        <v>20</v>
      </c>
      <c r="U7" s="48"/>
      <c r="V7" s="51" t="s">
        <v>22</v>
      </c>
    </row>
    <row r="8" spans="2:22" s="29" customFormat="1" ht="57.75" customHeight="1">
      <c r="B8" s="39"/>
      <c r="C8" s="40"/>
      <c r="D8" s="40"/>
      <c r="E8" s="39" t="s">
        <v>23</v>
      </c>
      <c r="F8" s="41" t="s">
        <v>24</v>
      </c>
      <c r="G8" s="42" t="s">
        <v>25</v>
      </c>
      <c r="H8" s="43"/>
      <c r="I8" s="44" t="s">
        <v>18</v>
      </c>
      <c r="J8" s="45" t="s">
        <v>21</v>
      </c>
      <c r="K8" s="46" t="s">
        <v>20</v>
      </c>
      <c r="L8" s="47" t="s">
        <v>22</v>
      </c>
      <c r="P8" s="52" t="s">
        <v>23</v>
      </c>
      <c r="Q8" s="48"/>
      <c r="R8" s="53" t="s">
        <v>24</v>
      </c>
      <c r="S8" s="48"/>
      <c r="T8" s="54" t="s">
        <v>25</v>
      </c>
      <c r="U8" s="48"/>
      <c r="V8" s="55" t="s">
        <v>26</v>
      </c>
    </row>
    <row r="9" spans="2:22" s="29" customFormat="1">
      <c r="B9" s="39"/>
      <c r="C9" s="40"/>
      <c r="D9" s="40"/>
      <c r="E9" s="39" t="s">
        <v>27</v>
      </c>
      <c r="F9" s="41" t="s">
        <v>19</v>
      </c>
      <c r="G9" s="42" t="s">
        <v>28</v>
      </c>
      <c r="H9" s="43"/>
      <c r="I9" s="44" t="s">
        <v>23</v>
      </c>
      <c r="J9" s="45" t="s">
        <v>24</v>
      </c>
      <c r="K9" s="46" t="s">
        <v>25</v>
      </c>
      <c r="L9" s="47" t="s">
        <v>22</v>
      </c>
      <c r="P9" s="53" t="s">
        <v>27</v>
      </c>
      <c r="Q9" s="48"/>
      <c r="R9" s="56" t="s">
        <v>19</v>
      </c>
      <c r="S9" s="48"/>
      <c r="T9" s="57" t="s">
        <v>28</v>
      </c>
      <c r="U9" s="48"/>
      <c r="V9" s="48"/>
    </row>
    <row r="10" spans="2:22" s="29" customFormat="1">
      <c r="B10" s="39"/>
      <c r="C10" s="40"/>
      <c r="D10" s="40"/>
      <c r="E10" s="39" t="s">
        <v>29</v>
      </c>
      <c r="F10" s="41" t="s">
        <v>19</v>
      </c>
      <c r="G10" s="42" t="s">
        <v>30</v>
      </c>
      <c r="H10" s="43"/>
      <c r="I10" s="44" t="s">
        <v>27</v>
      </c>
      <c r="J10" s="45" t="s">
        <v>19</v>
      </c>
      <c r="K10" s="46" t="s">
        <v>28</v>
      </c>
      <c r="L10" s="47" t="s">
        <v>26</v>
      </c>
      <c r="P10" s="56" t="s">
        <v>29</v>
      </c>
      <c r="Q10" s="48"/>
      <c r="R10" s="48"/>
      <c r="S10" s="48"/>
      <c r="T10" s="58" t="s">
        <v>30</v>
      </c>
      <c r="U10" s="48"/>
      <c r="V10" s="48"/>
    </row>
    <row r="11" spans="2:22" s="29" customFormat="1" ht="33" customHeight="1">
      <c r="B11" s="39"/>
      <c r="C11" s="40"/>
      <c r="D11" s="40"/>
      <c r="E11" s="39"/>
      <c r="F11" s="41"/>
      <c r="G11" s="42"/>
      <c r="H11" s="43"/>
      <c r="I11" s="44"/>
      <c r="J11" s="45"/>
      <c r="K11" s="46"/>
      <c r="L11" s="59"/>
    </row>
    <row r="12" spans="2:22" s="29" customFormat="1" ht="33" customHeight="1">
      <c r="B12" s="39"/>
      <c r="C12" s="40"/>
      <c r="D12" s="40"/>
      <c r="E12" s="39"/>
      <c r="F12" s="41"/>
      <c r="G12" s="42"/>
      <c r="H12" s="43"/>
      <c r="I12" s="44"/>
      <c r="J12" s="45"/>
      <c r="K12" s="46"/>
      <c r="L12" s="59"/>
    </row>
    <row r="13" spans="2:22" s="29" customFormat="1" ht="33" customHeight="1">
      <c r="B13" s="39"/>
      <c r="C13" s="40"/>
      <c r="D13" s="40"/>
      <c r="E13" s="39"/>
      <c r="F13" s="41"/>
      <c r="G13" s="42"/>
      <c r="H13" s="43"/>
      <c r="I13" s="44"/>
      <c r="J13" s="45"/>
      <c r="K13" s="46"/>
      <c r="L13" s="59"/>
    </row>
    <row r="14" spans="2:22" s="29" customFormat="1" ht="33" customHeight="1">
      <c r="B14" s="39"/>
      <c r="C14" s="40"/>
      <c r="D14" s="40"/>
      <c r="E14" s="39"/>
      <c r="F14" s="41"/>
      <c r="G14" s="42"/>
      <c r="H14" s="43"/>
      <c r="I14" s="44"/>
      <c r="J14" s="45"/>
      <c r="K14" s="46"/>
      <c r="L14" s="59"/>
    </row>
    <row r="15" spans="2:22" s="29" customFormat="1" ht="33" customHeight="1">
      <c r="B15" s="39"/>
      <c r="C15" s="40"/>
      <c r="D15" s="40"/>
      <c r="E15" s="39"/>
      <c r="F15" s="41"/>
      <c r="G15" s="42"/>
      <c r="H15" s="43"/>
      <c r="I15" s="44"/>
      <c r="J15" s="45"/>
      <c r="K15" s="46"/>
      <c r="L15" s="59"/>
    </row>
    <row r="16" spans="2:22" s="29" customFormat="1" ht="33" customHeight="1">
      <c r="B16" s="39"/>
      <c r="C16" s="40"/>
      <c r="D16" s="40"/>
      <c r="E16" s="39"/>
      <c r="F16" s="41"/>
      <c r="G16" s="42"/>
      <c r="H16" s="43"/>
      <c r="I16" s="44"/>
      <c r="J16" s="45"/>
      <c r="K16" s="46"/>
      <c r="L16" s="59"/>
    </row>
    <row r="17" spans="2:12" s="29" customFormat="1" ht="33" customHeight="1">
      <c r="B17" s="39"/>
      <c r="C17" s="40"/>
      <c r="D17" s="40"/>
      <c r="E17" s="39"/>
      <c r="F17" s="41"/>
      <c r="G17" s="42"/>
      <c r="H17" s="43"/>
      <c r="I17" s="44"/>
      <c r="J17" s="45"/>
      <c r="K17" s="46"/>
      <c r="L17" s="59"/>
    </row>
    <row r="18" spans="2:12" s="29" customFormat="1" ht="33" customHeight="1">
      <c r="B18" s="39"/>
      <c r="C18" s="40"/>
      <c r="D18" s="40"/>
      <c r="E18" s="39"/>
      <c r="F18" s="41"/>
      <c r="G18" s="42"/>
      <c r="H18" s="43"/>
      <c r="I18" s="44"/>
      <c r="J18" s="45"/>
      <c r="K18" s="46"/>
      <c r="L18" s="59"/>
    </row>
    <row r="19" spans="2:12" s="29" customFormat="1" ht="33" customHeight="1">
      <c r="B19" s="39"/>
      <c r="C19" s="40"/>
      <c r="D19" s="40"/>
      <c r="E19" s="39"/>
      <c r="F19" s="41"/>
      <c r="G19" s="42"/>
      <c r="H19" s="43"/>
      <c r="I19" s="44"/>
      <c r="J19" s="45"/>
      <c r="K19" s="46"/>
      <c r="L19" s="59"/>
    </row>
    <row r="20" spans="2:12" s="29" customFormat="1" ht="33" customHeight="1">
      <c r="B20" s="39"/>
      <c r="C20" s="40"/>
      <c r="D20" s="40"/>
      <c r="E20" s="39"/>
      <c r="F20" s="41"/>
      <c r="G20" s="42"/>
      <c r="H20" s="43"/>
      <c r="I20" s="44"/>
      <c r="J20" s="45"/>
      <c r="K20" s="46"/>
      <c r="L20" s="59"/>
    </row>
    <row r="21" spans="2:12" s="29" customFormat="1" ht="33" customHeight="1">
      <c r="B21" s="39"/>
      <c r="C21" s="40"/>
      <c r="D21" s="40"/>
      <c r="E21" s="39"/>
      <c r="F21" s="41"/>
      <c r="G21" s="42"/>
      <c r="H21" s="43"/>
      <c r="I21" s="44"/>
      <c r="J21" s="45"/>
      <c r="K21" s="46"/>
      <c r="L21" s="59"/>
    </row>
    <row r="22" spans="2:12" s="29" customFormat="1" ht="33" customHeight="1">
      <c r="B22" s="39"/>
      <c r="C22" s="40"/>
      <c r="D22" s="40"/>
      <c r="E22" s="39"/>
      <c r="F22" s="41"/>
      <c r="G22" s="42"/>
      <c r="H22" s="43"/>
      <c r="I22" s="44"/>
      <c r="J22" s="45"/>
      <c r="K22" s="46"/>
      <c r="L22" s="59"/>
    </row>
    <row r="23" spans="2:12" s="29" customFormat="1" ht="15.75" thickBot="1">
      <c r="B23" s="60"/>
      <c r="C23" s="61"/>
      <c r="D23" s="61"/>
      <c r="E23" s="60"/>
      <c r="F23" s="62"/>
      <c r="G23" s="63"/>
      <c r="H23" s="64"/>
      <c r="I23" s="65"/>
      <c r="J23" s="66"/>
      <c r="K23" s="67"/>
      <c r="L23" s="68"/>
    </row>
    <row r="24" spans="2:12" ht="15.75" thickTop="1"/>
  </sheetData>
  <mergeCells count="5">
    <mergeCell ref="I2:K2"/>
    <mergeCell ref="C3:H3"/>
    <mergeCell ref="I3:K3"/>
    <mergeCell ref="E5:G5"/>
    <mergeCell ref="I5:K5"/>
  </mergeCells>
  <conditionalFormatting sqref="E7:E23 I7:I23">
    <cfRule type="containsText" dxfId="12" priority="10" operator="containsText" text="INTOLERABLE">
      <formula>NOT(ISERROR(SEARCH("INTOLERABLE",E7)))</formula>
    </cfRule>
    <cfRule type="containsText" dxfId="11" priority="11" operator="containsText" text="UNDESIRABLE">
      <formula>NOT(ISERROR(SEARCH("UNDESIRABLE",E7)))</formula>
    </cfRule>
    <cfRule type="containsText" dxfId="10" priority="12" operator="containsText" text="TOLERABLE">
      <formula>NOT(ISERROR(SEARCH("TOLERABLE",E7)))</formula>
    </cfRule>
    <cfRule type="containsText" dxfId="9" priority="13" operator="containsText" text="ACCEPTABLE">
      <formula>NOT(ISERROR(SEARCH("ACCEPTABLE",E7)))</formula>
    </cfRule>
  </conditionalFormatting>
  <conditionalFormatting sqref="F7:F23 J7:J23">
    <cfRule type="containsText" dxfId="8" priority="7" operator="containsText" text="POSSIBLE">
      <formula>NOT(ISERROR(SEARCH("POSSIBLE",F7)))</formula>
    </cfRule>
    <cfRule type="containsText" dxfId="7" priority="8" operator="containsText" text="IMPROBABLE">
      <formula>NOT(ISERROR(SEARCH("IMPROBABLE",F7)))</formula>
    </cfRule>
    <cfRule type="containsText" dxfId="6" priority="9" operator="containsText" text="PROBABLE">
      <formula>NOT(ISERROR(SEARCH("PROBABLE",F7)))</formula>
    </cfRule>
  </conditionalFormatting>
  <conditionalFormatting sqref="G7:G23 K7:K23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3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L7:L23" xr:uid="{DB6A1A14-CFDC-4876-A51D-9F84804B77B7}">
      <formula1>$V$7:$V$8</formula1>
    </dataValidation>
    <dataValidation type="list" allowBlank="1" showInputMessage="1" showErrorMessage="1" sqref="G7:G23 K7:K23" xr:uid="{7F52387A-9BE8-484A-947B-461945FC0B65}">
      <formula1>$T$7:$T$10</formula1>
    </dataValidation>
    <dataValidation type="list" allowBlank="1" showInputMessage="1" showErrorMessage="1" sqref="F7:F23 J7:J23" xr:uid="{D444F01E-F6D4-419D-9F7C-99C93FC20300}">
      <formula1>$R$7:$R$9</formula1>
    </dataValidation>
    <dataValidation type="list" allowBlank="1" showInputMessage="1" showErrorMessage="1" sqref="E7:E23 I7:I23" xr:uid="{152DAC4A-7E6E-4910-B395-ABE56108349C}">
      <formula1>$P$7:$P$10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2906-E0DE-49A1-B2D0-362E08D19B55}">
  <sheetPr>
    <tabColor theme="5" tint="0.59999389629810485"/>
  </sheetPr>
  <dimension ref="B5:J46"/>
  <sheetViews>
    <sheetView showGridLines="0" tabSelected="1" topLeftCell="B30" zoomScale="115" zoomScaleNormal="115" workbookViewId="0">
      <selection activeCell="I38" sqref="I38"/>
    </sheetView>
  </sheetViews>
  <sheetFormatPr defaultColWidth="11.42578125" defaultRowHeight="15"/>
  <cols>
    <col min="1" max="1" width="3" customWidth="1"/>
    <col min="2" max="2" width="55.5703125" customWidth="1"/>
    <col min="3" max="3" width="26.140625" customWidth="1"/>
    <col min="4" max="4" width="14.42578125" customWidth="1"/>
    <col min="5" max="5" width="19.140625" bestFit="1" customWidth="1"/>
    <col min="6" max="6" width="14.42578125" customWidth="1"/>
    <col min="7" max="7" width="5" bestFit="1" customWidth="1"/>
    <col min="8" max="8" width="15.28515625" customWidth="1"/>
    <col min="9" max="9" width="7.140625" bestFit="1" customWidth="1"/>
    <col min="10" max="10" width="28.140625" customWidth="1"/>
  </cols>
  <sheetData>
    <row r="5" spans="2:10" ht="28.5">
      <c r="B5" s="93" t="s">
        <v>31</v>
      </c>
      <c r="C5" s="94"/>
      <c r="D5" s="94"/>
      <c r="E5" s="94"/>
      <c r="F5" s="94"/>
      <c r="G5" s="94"/>
      <c r="H5" s="94"/>
      <c r="I5" s="94"/>
      <c r="J5" s="94"/>
    </row>
    <row r="6" spans="2:10" ht="30">
      <c r="B6" s="74" t="s">
        <v>32</v>
      </c>
      <c r="C6" s="74" t="s">
        <v>33</v>
      </c>
      <c r="D6" s="74" t="s">
        <v>34</v>
      </c>
      <c r="E6" s="74" t="s">
        <v>35</v>
      </c>
      <c r="F6" s="74" t="s">
        <v>36</v>
      </c>
      <c r="G6" s="98" t="s">
        <v>37</v>
      </c>
      <c r="H6" s="98"/>
      <c r="I6" s="98"/>
      <c r="J6" s="74" t="s">
        <v>38</v>
      </c>
    </row>
    <row r="7" spans="2:10" ht="76.5">
      <c r="B7" s="95" t="s">
        <v>39</v>
      </c>
      <c r="C7" s="75" t="s">
        <v>40</v>
      </c>
      <c r="D7" s="75" t="s">
        <v>41</v>
      </c>
      <c r="E7" s="102">
        <v>0.7</v>
      </c>
      <c r="F7" s="75" t="s">
        <v>42</v>
      </c>
      <c r="G7" s="76"/>
      <c r="H7" s="99">
        <v>0.7</v>
      </c>
      <c r="I7" s="77"/>
      <c r="J7" s="75" t="s">
        <v>43</v>
      </c>
    </row>
    <row r="8" spans="2:10" ht="76.5">
      <c r="B8" s="95"/>
      <c r="C8" s="69" t="s">
        <v>44</v>
      </c>
      <c r="D8" s="69" t="s">
        <v>45</v>
      </c>
      <c r="E8" s="102">
        <v>0.7</v>
      </c>
      <c r="F8" s="69" t="s">
        <v>42</v>
      </c>
      <c r="G8" s="100"/>
      <c r="H8" s="99">
        <v>0.7</v>
      </c>
      <c r="I8" s="71"/>
      <c r="J8" s="69" t="s">
        <v>46</v>
      </c>
    </row>
    <row r="9" spans="2:10" ht="60.75">
      <c r="B9" s="95"/>
      <c r="C9" s="69" t="s">
        <v>47</v>
      </c>
      <c r="D9" s="69" t="s">
        <v>48</v>
      </c>
      <c r="E9" s="103">
        <v>0.8</v>
      </c>
      <c r="F9" s="69" t="s">
        <v>42</v>
      </c>
      <c r="G9" s="100"/>
      <c r="H9" s="70"/>
      <c r="I9" s="71">
        <v>0.8</v>
      </c>
      <c r="J9" s="69" t="s">
        <v>49</v>
      </c>
    </row>
    <row r="10" spans="2:10" ht="60.75">
      <c r="B10" s="95"/>
      <c r="C10" s="69" t="s">
        <v>50</v>
      </c>
      <c r="D10" s="69" t="s">
        <v>51</v>
      </c>
      <c r="E10" s="103">
        <v>0.5</v>
      </c>
      <c r="F10" s="69" t="s">
        <v>52</v>
      </c>
      <c r="G10" s="100"/>
      <c r="H10" s="72">
        <v>0.5</v>
      </c>
      <c r="I10" s="71"/>
      <c r="J10" s="69" t="s">
        <v>53</v>
      </c>
    </row>
    <row r="11" spans="2:10" ht="45.75">
      <c r="B11" s="96"/>
      <c r="C11" s="69" t="s">
        <v>54</v>
      </c>
      <c r="D11" s="69" t="s">
        <v>55</v>
      </c>
      <c r="E11" s="103">
        <v>0.55000000000000004</v>
      </c>
      <c r="F11" s="69" t="s">
        <v>52</v>
      </c>
      <c r="G11" s="100"/>
      <c r="H11" s="72">
        <v>0.55000000000000004</v>
      </c>
      <c r="I11" s="71"/>
      <c r="J11" s="69" t="s">
        <v>56</v>
      </c>
    </row>
    <row r="12" spans="2:10" ht="76.5">
      <c r="B12" s="97" t="s">
        <v>57</v>
      </c>
      <c r="C12" s="69" t="s">
        <v>58</v>
      </c>
      <c r="D12" s="69" t="s">
        <v>59</v>
      </c>
      <c r="E12" s="103">
        <v>0.65</v>
      </c>
      <c r="F12" s="69" t="s">
        <v>42</v>
      </c>
      <c r="G12" s="100"/>
      <c r="H12" s="72">
        <v>0.65</v>
      </c>
      <c r="I12" s="71"/>
      <c r="J12" s="69" t="s">
        <v>60</v>
      </c>
    </row>
    <row r="13" spans="2:10" ht="60.75">
      <c r="B13" s="95"/>
      <c r="C13" s="69" t="s">
        <v>61</v>
      </c>
      <c r="D13" s="69" t="s">
        <v>62</v>
      </c>
      <c r="E13" s="103">
        <v>0.45</v>
      </c>
      <c r="F13" s="69" t="s">
        <v>52</v>
      </c>
      <c r="G13" s="101">
        <v>0.45</v>
      </c>
      <c r="H13" s="70"/>
      <c r="I13" s="71"/>
      <c r="J13" s="69" t="s">
        <v>63</v>
      </c>
    </row>
    <row r="14" spans="2:10" ht="60.75">
      <c r="B14" s="95"/>
      <c r="C14" s="69" t="s">
        <v>64</v>
      </c>
      <c r="D14" s="69" t="s">
        <v>65</v>
      </c>
      <c r="E14" s="103">
        <v>0.75</v>
      </c>
      <c r="F14" s="69" t="s">
        <v>42</v>
      </c>
      <c r="G14" s="100"/>
      <c r="H14" s="72">
        <v>0.75</v>
      </c>
      <c r="I14" s="71"/>
      <c r="J14" s="69" t="s">
        <v>66</v>
      </c>
    </row>
    <row r="15" spans="2:10" ht="60.75">
      <c r="B15" s="95"/>
      <c r="C15" s="69" t="s">
        <v>67</v>
      </c>
      <c r="D15" s="69" t="s">
        <v>68</v>
      </c>
      <c r="E15" s="103">
        <v>0.7</v>
      </c>
      <c r="F15" s="69" t="s">
        <v>42</v>
      </c>
      <c r="G15" s="100"/>
      <c r="H15" s="72">
        <v>0.7</v>
      </c>
      <c r="I15" s="71"/>
      <c r="J15" s="69" t="s">
        <v>69</v>
      </c>
    </row>
    <row r="16" spans="2:10" ht="60.75">
      <c r="B16" s="96"/>
      <c r="C16" s="69" t="s">
        <v>70</v>
      </c>
      <c r="D16" s="69" t="s">
        <v>71</v>
      </c>
      <c r="E16" s="103">
        <v>0.6</v>
      </c>
      <c r="F16" s="69" t="s">
        <v>72</v>
      </c>
      <c r="G16" s="100"/>
      <c r="H16" s="72">
        <v>0.6</v>
      </c>
      <c r="I16" s="71"/>
      <c r="J16" s="69" t="s">
        <v>73</v>
      </c>
    </row>
    <row r="17" spans="2:10" ht="76.5">
      <c r="B17" s="97" t="s">
        <v>74</v>
      </c>
      <c r="C17" s="69" t="s">
        <v>75</v>
      </c>
      <c r="D17" s="69" t="s">
        <v>76</v>
      </c>
      <c r="E17" s="103">
        <v>0.65</v>
      </c>
      <c r="F17" s="69" t="s">
        <v>42</v>
      </c>
      <c r="G17" s="100"/>
      <c r="H17" s="72">
        <v>0.65</v>
      </c>
      <c r="I17" s="71"/>
      <c r="J17" s="69" t="s">
        <v>77</v>
      </c>
    </row>
    <row r="18" spans="2:10" ht="60.75">
      <c r="B18" s="95"/>
      <c r="C18" s="69" t="s">
        <v>78</v>
      </c>
      <c r="D18" s="69" t="s">
        <v>79</v>
      </c>
      <c r="E18" s="103">
        <v>0.8</v>
      </c>
      <c r="F18" s="69" t="s">
        <v>80</v>
      </c>
      <c r="G18" s="100"/>
      <c r="H18" s="70"/>
      <c r="I18" s="71">
        <v>0.8</v>
      </c>
      <c r="J18" s="69" t="s">
        <v>81</v>
      </c>
    </row>
    <row r="19" spans="2:10" ht="45.75">
      <c r="B19" s="95"/>
      <c r="C19" s="69" t="s">
        <v>54</v>
      </c>
      <c r="D19" s="69" t="s">
        <v>82</v>
      </c>
      <c r="E19" s="103">
        <v>0.7</v>
      </c>
      <c r="F19" s="69" t="s">
        <v>42</v>
      </c>
      <c r="G19" s="100"/>
      <c r="H19" s="72">
        <v>0.7</v>
      </c>
      <c r="I19" s="71"/>
      <c r="J19" s="69" t="s">
        <v>83</v>
      </c>
    </row>
    <row r="20" spans="2:10" ht="60.75">
      <c r="B20" s="95"/>
      <c r="C20" s="69" t="s">
        <v>84</v>
      </c>
      <c r="D20" s="69" t="s">
        <v>85</v>
      </c>
      <c r="E20" s="103">
        <v>0.45</v>
      </c>
      <c r="F20" s="69" t="s">
        <v>52</v>
      </c>
      <c r="G20" s="101">
        <v>0.45</v>
      </c>
      <c r="H20" s="70"/>
      <c r="I20" s="71"/>
      <c r="J20" s="69" t="s">
        <v>86</v>
      </c>
    </row>
    <row r="21" spans="2:10" ht="60.75">
      <c r="B21" s="96"/>
      <c r="C21" s="69" t="s">
        <v>70</v>
      </c>
      <c r="D21" s="69" t="s">
        <v>87</v>
      </c>
      <c r="E21" s="103">
        <v>0.55000000000000004</v>
      </c>
      <c r="F21" s="69" t="s">
        <v>52</v>
      </c>
      <c r="G21" s="100"/>
      <c r="H21" s="72">
        <v>0.55000000000000004</v>
      </c>
      <c r="I21" s="71"/>
      <c r="J21" s="69" t="s">
        <v>88</v>
      </c>
    </row>
    <row r="22" spans="2:10" ht="60.75">
      <c r="B22" s="97" t="s">
        <v>89</v>
      </c>
      <c r="C22" s="69" t="s">
        <v>90</v>
      </c>
      <c r="D22" s="69" t="s">
        <v>91</v>
      </c>
      <c r="E22" s="103">
        <v>0.6</v>
      </c>
      <c r="F22" s="69" t="s">
        <v>42</v>
      </c>
      <c r="G22" s="100"/>
      <c r="H22" s="72">
        <v>0.6</v>
      </c>
      <c r="I22" s="71"/>
      <c r="J22" s="69" t="s">
        <v>92</v>
      </c>
    </row>
    <row r="23" spans="2:10" ht="45.75">
      <c r="B23" s="95"/>
      <c r="C23" s="69" t="s">
        <v>93</v>
      </c>
      <c r="D23" s="69" t="s">
        <v>94</v>
      </c>
      <c r="E23" s="103">
        <v>0.65</v>
      </c>
      <c r="F23" s="69" t="s">
        <v>42</v>
      </c>
      <c r="G23" s="100"/>
      <c r="H23" s="72">
        <v>0.65</v>
      </c>
      <c r="I23" s="71"/>
      <c r="J23" s="69" t="s">
        <v>95</v>
      </c>
    </row>
    <row r="24" spans="2:10" ht="60.75">
      <c r="B24" s="95"/>
      <c r="C24" s="69" t="s">
        <v>54</v>
      </c>
      <c r="D24" s="69" t="s">
        <v>96</v>
      </c>
      <c r="E24" s="103">
        <v>0.5</v>
      </c>
      <c r="F24" s="69" t="s">
        <v>52</v>
      </c>
      <c r="G24" s="100"/>
      <c r="H24" s="72">
        <v>0.5</v>
      </c>
      <c r="I24" s="71"/>
      <c r="J24" s="69" t="s">
        <v>97</v>
      </c>
    </row>
    <row r="25" spans="2:10" ht="30.75">
      <c r="B25" s="95"/>
      <c r="C25" s="69" t="s">
        <v>98</v>
      </c>
      <c r="D25" s="69" t="s">
        <v>99</v>
      </c>
      <c r="E25" s="103">
        <v>0.55000000000000004</v>
      </c>
      <c r="F25" s="69" t="s">
        <v>52</v>
      </c>
      <c r="G25" s="100"/>
      <c r="H25" s="72">
        <v>0.55000000000000004</v>
      </c>
      <c r="I25" s="71"/>
      <c r="J25" s="69" t="s">
        <v>100</v>
      </c>
    </row>
    <row r="26" spans="2:10" ht="60.75">
      <c r="B26" s="96"/>
      <c r="C26" s="69" t="s">
        <v>101</v>
      </c>
      <c r="D26" s="69" t="s">
        <v>102</v>
      </c>
      <c r="E26" s="103">
        <v>0.45</v>
      </c>
      <c r="F26" s="69" t="s">
        <v>52</v>
      </c>
      <c r="G26" s="101">
        <v>0.45</v>
      </c>
      <c r="H26" s="70"/>
      <c r="I26" s="71"/>
      <c r="J26" s="69" t="s">
        <v>103</v>
      </c>
    </row>
    <row r="27" spans="2:10" ht="76.5">
      <c r="B27" s="97" t="s">
        <v>104</v>
      </c>
      <c r="C27" s="69" t="s">
        <v>105</v>
      </c>
      <c r="D27" s="69" t="s">
        <v>106</v>
      </c>
      <c r="E27" s="103">
        <v>0.65</v>
      </c>
      <c r="F27" s="69" t="s">
        <v>42</v>
      </c>
      <c r="G27" s="100"/>
      <c r="H27" s="72">
        <v>0.65</v>
      </c>
      <c r="I27" s="71"/>
      <c r="J27" s="69" t="s">
        <v>107</v>
      </c>
    </row>
    <row r="28" spans="2:10" ht="30.75">
      <c r="B28" s="95"/>
      <c r="C28" s="69" t="s">
        <v>108</v>
      </c>
      <c r="D28" s="69" t="s">
        <v>109</v>
      </c>
      <c r="E28" s="103">
        <v>0.75</v>
      </c>
      <c r="F28" s="69" t="s">
        <v>42</v>
      </c>
      <c r="G28" s="100"/>
      <c r="H28" s="72">
        <v>0.75</v>
      </c>
      <c r="I28" s="71"/>
      <c r="J28" s="69" t="s">
        <v>110</v>
      </c>
    </row>
    <row r="29" spans="2:10" ht="45.75">
      <c r="B29" s="95"/>
      <c r="C29" s="69" t="s">
        <v>111</v>
      </c>
      <c r="D29" s="69" t="s">
        <v>112</v>
      </c>
      <c r="E29" s="103">
        <v>0.55000000000000004</v>
      </c>
      <c r="F29" s="69" t="s">
        <v>52</v>
      </c>
      <c r="G29" s="100"/>
      <c r="H29" s="72">
        <v>0.55000000000000004</v>
      </c>
      <c r="I29" s="71"/>
      <c r="J29" s="69" t="s">
        <v>113</v>
      </c>
    </row>
    <row r="30" spans="2:10" ht="45.75">
      <c r="B30" s="95"/>
      <c r="C30" s="69" t="s">
        <v>114</v>
      </c>
      <c r="D30" s="69" t="s">
        <v>115</v>
      </c>
      <c r="E30" s="103">
        <v>0.5</v>
      </c>
      <c r="F30" s="69" t="s">
        <v>52</v>
      </c>
      <c r="G30" s="100"/>
      <c r="H30" s="72">
        <v>0.5</v>
      </c>
      <c r="I30" s="71"/>
      <c r="J30" s="69" t="s">
        <v>116</v>
      </c>
    </row>
    <row r="31" spans="2:10" ht="60.75">
      <c r="B31" s="96"/>
      <c r="C31" s="69" t="s">
        <v>117</v>
      </c>
      <c r="D31" s="69" t="s">
        <v>118</v>
      </c>
      <c r="E31" s="103">
        <v>0.6</v>
      </c>
      <c r="F31" s="69" t="s">
        <v>52</v>
      </c>
      <c r="G31" s="100"/>
      <c r="H31" s="72">
        <v>0.6</v>
      </c>
      <c r="I31" s="71"/>
      <c r="J31" s="69" t="s">
        <v>119</v>
      </c>
    </row>
    <row r="32" spans="2:10" ht="60.75">
      <c r="B32" s="97" t="s">
        <v>120</v>
      </c>
      <c r="C32" s="69" t="s">
        <v>54</v>
      </c>
      <c r="D32" s="69" t="s">
        <v>121</v>
      </c>
      <c r="E32" s="103">
        <v>0.8</v>
      </c>
      <c r="F32" s="69" t="s">
        <v>42</v>
      </c>
      <c r="G32" s="100"/>
      <c r="H32" s="70"/>
      <c r="I32" s="71">
        <v>0.8</v>
      </c>
      <c r="J32" s="69" t="s">
        <v>122</v>
      </c>
    </row>
    <row r="33" spans="2:10" ht="45.75">
      <c r="B33" s="95"/>
      <c r="C33" s="69" t="s">
        <v>123</v>
      </c>
      <c r="D33" s="69" t="s">
        <v>124</v>
      </c>
      <c r="E33" s="103">
        <v>0.7</v>
      </c>
      <c r="F33" s="69" t="s">
        <v>125</v>
      </c>
      <c r="G33" s="100"/>
      <c r="H33" s="72">
        <v>0.7</v>
      </c>
      <c r="I33" s="71"/>
      <c r="J33" s="69" t="s">
        <v>126</v>
      </c>
    </row>
    <row r="34" spans="2:10" ht="60.75">
      <c r="B34" s="95"/>
      <c r="C34" s="69" t="s">
        <v>127</v>
      </c>
      <c r="D34" s="69" t="s">
        <v>128</v>
      </c>
      <c r="E34" s="103">
        <v>0.75</v>
      </c>
      <c r="F34" s="69" t="s">
        <v>125</v>
      </c>
      <c r="G34" s="100"/>
      <c r="H34" s="72">
        <v>0.75</v>
      </c>
      <c r="I34" s="71"/>
      <c r="J34" s="69" t="s">
        <v>129</v>
      </c>
    </row>
    <row r="35" spans="2:10" ht="45.75">
      <c r="B35" s="95"/>
      <c r="C35" s="69" t="s">
        <v>130</v>
      </c>
      <c r="D35" s="69" t="s">
        <v>131</v>
      </c>
      <c r="E35" s="103">
        <v>0.6</v>
      </c>
      <c r="F35" s="69" t="s">
        <v>52</v>
      </c>
      <c r="G35" s="100"/>
      <c r="H35" s="72">
        <v>0.6</v>
      </c>
      <c r="I35" s="73"/>
      <c r="J35" s="69" t="s">
        <v>132</v>
      </c>
    </row>
    <row r="36" spans="2:10" ht="60.75">
      <c r="B36" s="96"/>
      <c r="C36" s="69" t="s">
        <v>133</v>
      </c>
      <c r="D36" s="69" t="s">
        <v>134</v>
      </c>
      <c r="E36" s="103">
        <v>0.5</v>
      </c>
      <c r="F36" s="69" t="s">
        <v>52</v>
      </c>
      <c r="G36" s="100"/>
      <c r="H36" s="72">
        <v>0.5</v>
      </c>
      <c r="I36" s="73"/>
      <c r="J36" s="69" t="s">
        <v>135</v>
      </c>
    </row>
    <row r="37" spans="2:10" ht="15" customHeight="1">
      <c r="B37" s="89" t="s">
        <v>36</v>
      </c>
      <c r="C37" s="91" t="s">
        <v>136</v>
      </c>
      <c r="G37" s="1">
        <f>AVERAGE(G7:G36)</f>
        <v>0.45</v>
      </c>
      <c r="H37" s="2">
        <f>AVERAGE(H7:H36)</f>
        <v>0.62291666666666667</v>
      </c>
      <c r="I37" s="3">
        <f>AVERAGE(I7:I36)</f>
        <v>0.80000000000000016</v>
      </c>
    </row>
    <row r="38" spans="2:10" ht="15.75" customHeight="1">
      <c r="B38" s="90"/>
      <c r="C38" s="92"/>
      <c r="G38" s="4" t="s">
        <v>137</v>
      </c>
      <c r="H38" s="5" t="s">
        <v>52</v>
      </c>
      <c r="I38" s="6" t="s">
        <v>138</v>
      </c>
    </row>
    <row r="43" spans="2:10" ht="76.5">
      <c r="B43" s="17" t="s">
        <v>37</v>
      </c>
      <c r="C43" s="16" t="s">
        <v>139</v>
      </c>
      <c r="D43" s="8" t="s">
        <v>140</v>
      </c>
      <c r="E43" s="8" t="s">
        <v>141</v>
      </c>
      <c r="F43" s="9" t="s">
        <v>142</v>
      </c>
    </row>
    <row r="44" spans="2:10" ht="18.75">
      <c r="B44" s="18" t="s">
        <v>137</v>
      </c>
      <c r="C44" s="11" t="s">
        <v>143</v>
      </c>
      <c r="D44" s="7" t="s">
        <v>144</v>
      </c>
      <c r="E44" s="7" t="s">
        <v>145</v>
      </c>
      <c r="F44" s="13" t="s">
        <v>146</v>
      </c>
    </row>
    <row r="45" spans="2:10" ht="18.75">
      <c r="B45" s="19" t="s">
        <v>52</v>
      </c>
      <c r="C45" s="11" t="s">
        <v>147</v>
      </c>
      <c r="D45" s="7" t="s">
        <v>148</v>
      </c>
      <c r="E45" s="7" t="s">
        <v>149</v>
      </c>
      <c r="F45" s="14" t="s">
        <v>150</v>
      </c>
    </row>
    <row r="46" spans="2:10" ht="18.75">
      <c r="B46" s="20" t="s">
        <v>42</v>
      </c>
      <c r="C46" s="12" t="s">
        <v>151</v>
      </c>
      <c r="D46" s="10" t="s">
        <v>152</v>
      </c>
      <c r="E46" s="10" t="s">
        <v>153</v>
      </c>
      <c r="F46" s="15" t="s">
        <v>154</v>
      </c>
    </row>
  </sheetData>
  <autoFilter ref="B6:J38" xr:uid="{9FB22906-E0DE-49A1-B2D0-362E08D19B55}"/>
  <mergeCells count="10">
    <mergeCell ref="B37:B38"/>
    <mergeCell ref="C37:C38"/>
    <mergeCell ref="B5:J5"/>
    <mergeCell ref="B7:B11"/>
    <mergeCell ref="B12:B16"/>
    <mergeCell ref="B22:B26"/>
    <mergeCell ref="B17:B21"/>
    <mergeCell ref="B32:B36"/>
    <mergeCell ref="B27:B31"/>
    <mergeCell ref="G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Salas Didacticas Sede Bogota</dc:creator>
  <cp:keywords/>
  <dc:description/>
  <cp:lastModifiedBy/>
  <cp:revision/>
  <dcterms:created xsi:type="dcterms:W3CDTF">2024-12-20T14:48:22Z</dcterms:created>
  <dcterms:modified xsi:type="dcterms:W3CDTF">2025-10-28T19:23:08Z</dcterms:modified>
  <cp:category/>
  <cp:contentStatus/>
</cp:coreProperties>
</file>